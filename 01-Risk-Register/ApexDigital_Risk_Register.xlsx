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C Projects\"/>
    </mc:Choice>
  </mc:AlternateContent>
  <xr:revisionPtr revIDLastSave="0" documentId="8_{DAD3FBB0-A5EF-46FA-86C3-9F42F6AFC2F2}" xr6:coauthVersionLast="47" xr6:coauthVersionMax="47" xr10:uidLastSave="{00000000-0000-0000-0000-000000000000}"/>
  <bookViews>
    <workbookView xWindow="-120" yWindow="-120" windowWidth="29040" windowHeight="15840" xr2:uid="{0EA0AA06-EB3C-4677-B350-47DC4AE95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<sst xmlns="http://schemas.openxmlformats.org/spreadsheetml/2006/main" count="52" uniqueCount="52">
  <si>
    <t>Threat</t>
  </si>
  <si>
    <t>ID</t>
  </si>
  <si>
    <t xml:space="preserve">Description </t>
  </si>
  <si>
    <t>Likelihood (L)</t>
  </si>
  <si>
    <t>Impact (I)</t>
  </si>
  <si>
    <t>Risk Score (L*I)</t>
  </si>
  <si>
    <t>Mitigation Plan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</si>
  <si>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</si>
  <si>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</si>
  <si>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</si>
  <si>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</si>
  <si>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</si>
  <si>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</si>
  <si>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</si>
  <si>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</si>
  <si>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</si>
  <si>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</si>
  <si>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Ransomware</t>
  </si>
  <si>
    <t>Data Breach (PII)</t>
  </si>
  <si>
    <t>Zero-day Exploit</t>
  </si>
  <si>
    <t>Insider Threat</t>
  </si>
  <si>
    <t>Phishing Attack</t>
  </si>
  <si>
    <t>Physical Asset Theft</t>
  </si>
  <si>
    <t>Supply Chain Risk</t>
  </si>
  <si>
    <t>Infrastructure Failure</t>
  </si>
  <si>
    <t>Regulatory Violation</t>
  </si>
  <si>
    <t>DDoS Attack</t>
  </si>
  <si>
    <t>Malware encrypts transaction systems, halting services.</t>
  </si>
  <si>
    <t>Customer personal data leaked due to Cloud misconfiguration (S3).</t>
  </si>
  <si>
    <t>Employees tricked into providing admin credentials.</t>
  </si>
  <si>
    <t>IT staff intentionally sabotages or steals sensitive data.</t>
  </si>
  <si>
    <t>Unpatched vulnerability in firewall or server OS.</t>
  </si>
  <si>
    <t>Traffic flood crashes the digital wallet application.</t>
  </si>
  <si>
    <t>Non-compliance with local data protection laws (e.g., Decree 13).</t>
  </si>
  <si>
    <t>On-premise server room failure causing VPN downtime.</t>
  </si>
  <si>
    <t>Compromised open-source library used in application code.</t>
  </si>
  <si>
    <t>Engineer's laptop containing access keys is stolen.</t>
  </si>
  <si>
    <t>Risk Level</t>
  </si>
  <si>
    <t>Daily offline backups; Deploy EDR; Network Segmentation.</t>
  </si>
  <si>
    <t>Use CSPM tools; Data-at-rest encryption; IAM audit.</t>
  </si>
  <si>
    <t>Mandatory MFA; Security Awareness Training; Phishing simulations.</t>
  </si>
  <si>
    <t>Principle of Least Privilege; SIEM log monitoring; Offboarding policy.</t>
  </si>
  <si>
    <t>Deploy IPS (Suricata); Rapid patching cycle; Incident Response plan.</t>
  </si>
  <si>
    <t>Anti-DDoS services (Cloudflare/AWS Shield); Rate limiting.</t>
  </si>
  <si>
    <t>Annual compliance audits; Appoint Data Protection Officer (DPO).</t>
  </si>
  <si>
    <t>Backup power generators; Disaster Recovery (DR) site on Cloud.</t>
  </si>
  <si>
    <t>SCA (Software Composition Analysis) scanning; Software Bill of Materials (SBOM).</t>
  </si>
  <si>
    <t>Full disk encryption (BitLocker); Remote wipe capabilities.</t>
  </si>
  <si>
    <t xml:space="preserve">Methodology </t>
  </si>
  <si>
    <r>
      <rPr>
        <b/>
        <sz val="11"/>
        <color theme="1"/>
        <rFont val="Aptos Narrow"/>
        <family val="2"/>
        <scheme val="minor"/>
      </rPr>
      <t>Framework</t>
    </r>
    <r>
      <rPr>
        <sz val="11"/>
        <color theme="1"/>
        <rFont val="Aptos Narrow"/>
        <family val="2"/>
        <scheme val="minor"/>
      </rPr>
      <t xml:space="preserve"> : Aligned with NIST SP 800-30.</t>
    </r>
  </si>
  <si>
    <r>
      <rPr>
        <b/>
        <sz val="11"/>
        <color theme="1"/>
        <rFont val="Aptos Narrow"/>
        <family val="2"/>
        <scheme val="minor"/>
      </rPr>
      <t>Scoring</t>
    </r>
    <r>
      <rPr>
        <sz val="11"/>
        <color theme="1"/>
        <rFont val="Aptos Narrow"/>
        <family val="2"/>
        <scheme val="minor"/>
      </rPr>
      <t xml:space="preserve"> : Risk is calculated as Likelihood (1-5) multiplied by Impact (1-5).</t>
    </r>
  </si>
  <si>
    <r>
      <rPr>
        <b/>
        <sz val="11"/>
        <color theme="1"/>
        <rFont val="Aptos Narrow"/>
        <family val="2"/>
        <scheme val="minor"/>
      </rPr>
      <t>Tooling</t>
    </r>
    <r>
      <rPr>
        <sz val="11"/>
        <color theme="1"/>
        <rFont val="Aptos Narrow"/>
        <family val="2"/>
        <scheme val="minor"/>
      </rPr>
      <t xml:space="preserve"> : Mitigation strategies involve technical controls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</si>
</sst>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24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ont>
        <color theme="1" tint="4.9989318521683403E-2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DF0B-F592-4F76-880B-78F7D4B80FE7}">
  <dimension ref="A1:H17"/>
  <sheetViews>
    <sheetView tabSelected="1" workbookViewId="0">
      <selection activeCell="F22" sqref="F22"/>
    </sheetView>
  </sheetViews>
  <sheetFormatPr defaultRowHeight="15" x14ac:dyDescent="0.25"/>
  <cols>
    <col min="1" max="1" width="13.7109375" customWidth="1"/>
    <col min="2" max="2" width="20" customWidth="1"/>
    <col min="3" max="3" width="61" customWidth="1"/>
    <col min="4" max="4" width="15.42578125" customWidth="1"/>
    <col min="5" max="5" width="11.5703125" customWidth="1"/>
    <col min="6" max="6" width="16.42578125" customWidth="1"/>
    <col min="7" max="7" width="17.28515625" customWidth="1"/>
    <col min="8" max="8" width="74" customWidth="1"/>
  </cols>
  <sheetData>
    <row r="1" spans="1:8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37</v>
      </c>
      <c r="H1" s="4" t="s">
        <v>6</v>
      </c>
    </row>
    <row r="2" spans="1:8" x14ac:dyDescent="0.25">
      <c r="A2" s="2" t="s">
        <v>7</v>
      </c>
      <c r="B2" s="2" t="s">
        <v>17</v>
      </c>
      <c r="C2" s="2" t="s">
        <v>27</v>
      </c>
      <c r="D2" s="2">
        <v>4</v>
      </c>
      <c r="E2" s="2">
        <v>5</v>
      </c>
      <c r="F2" s="2">
        <f>D2*E2</f>
        <v>20</v>
      </c>
      <c r="G2" s="2" t="str">
        <f>IF(F2&gt;=20,"Critical",
 IF(F2&gt;=15,"High",
 IF(F2&gt;=8,"Medium","Low")))</f>
        <v>Critical</v>
      </c>
      <c r="H2" s="2" t="s">
        <v>38</v>
      </c>
    </row>
    <row r="3" spans="1:8" x14ac:dyDescent="0.25">
      <c r="A3" s="2" t="s">
        <v>8</v>
      </c>
      <c r="B3" s="2" t="s">
        <v>18</v>
      </c>
      <c r="C3" s="2" t="s">
        <v>28</v>
      </c>
      <c r="D3" s="2">
        <v>3</v>
      </c>
      <c r="E3" s="2">
        <v>5</v>
      </c>
      <c r="F3" s="2">
        <f t="shared" ref="F3:F11" si="0">D3*E3</f>
        <v>15</v>
      </c>
      <c r="G3" s="2" t="str">
        <f t="shared" ref="G3:G11" si="1">IF(F3&gt;=20,"Critical",
 IF(F3&gt;=15,"High",
 IF(F3&gt;=8,"Medium","Low")))</f>
        <v>High</v>
      </c>
      <c r="H3" s="2" t="s">
        <v>39</v>
      </c>
    </row>
    <row r="4" spans="1:8" x14ac:dyDescent="0.25">
      <c r="A4" s="2" t="s">
        <v>9</v>
      </c>
      <c r="B4" s="2" t="s">
        <v>21</v>
      </c>
      <c r="C4" s="2" t="s">
        <v>29</v>
      </c>
      <c r="D4" s="2">
        <v>4</v>
      </c>
      <c r="E4" s="2">
        <v>4</v>
      </c>
      <c r="F4" s="2">
        <f t="shared" si="0"/>
        <v>16</v>
      </c>
      <c r="G4" s="2" t="str">
        <f t="shared" si="1"/>
        <v>High</v>
      </c>
      <c r="H4" s="2" t="s">
        <v>40</v>
      </c>
    </row>
    <row r="5" spans="1:8" x14ac:dyDescent="0.25">
      <c r="A5" s="2" t="s">
        <v>10</v>
      </c>
      <c r="B5" s="2" t="s">
        <v>20</v>
      </c>
      <c r="C5" s="2" t="s">
        <v>30</v>
      </c>
      <c r="D5" s="2">
        <v>2</v>
      </c>
      <c r="E5" s="2">
        <v>4</v>
      </c>
      <c r="F5" s="2">
        <f t="shared" si="0"/>
        <v>8</v>
      </c>
      <c r="G5" s="2" t="str">
        <f t="shared" si="1"/>
        <v>Medium</v>
      </c>
      <c r="H5" s="2" t="s">
        <v>41</v>
      </c>
    </row>
    <row r="6" spans="1:8" x14ac:dyDescent="0.25">
      <c r="A6" s="2" t="s">
        <v>11</v>
      </c>
      <c r="B6" s="2" t="s">
        <v>19</v>
      </c>
      <c r="C6" s="2" t="s">
        <v>31</v>
      </c>
      <c r="D6" s="2">
        <v>3</v>
      </c>
      <c r="E6" s="2">
        <v>4</v>
      </c>
      <c r="F6" s="2">
        <f t="shared" si="0"/>
        <v>12</v>
      </c>
      <c r="G6" s="2" t="str">
        <f t="shared" si="1"/>
        <v>Medium</v>
      </c>
      <c r="H6" s="2" t="s">
        <v>42</v>
      </c>
    </row>
    <row r="7" spans="1:8" x14ac:dyDescent="0.25">
      <c r="A7" s="2" t="s">
        <v>12</v>
      </c>
      <c r="B7" s="2" t="s">
        <v>26</v>
      </c>
      <c r="C7" s="2" t="s">
        <v>32</v>
      </c>
      <c r="D7" s="2">
        <v>3</v>
      </c>
      <c r="E7" s="2">
        <v>3</v>
      </c>
      <c r="F7" s="2">
        <f t="shared" si="0"/>
        <v>9</v>
      </c>
      <c r="G7" s="2" t="str">
        <f t="shared" si="1"/>
        <v>Medium</v>
      </c>
      <c r="H7" s="2" t="s">
        <v>43</v>
      </c>
    </row>
    <row r="8" spans="1:8" x14ac:dyDescent="0.25">
      <c r="A8" s="2" t="s">
        <v>13</v>
      </c>
      <c r="B8" s="2" t="s">
        <v>25</v>
      </c>
      <c r="C8" s="2" t="s">
        <v>33</v>
      </c>
      <c r="D8" s="2">
        <v>2</v>
      </c>
      <c r="E8" s="2">
        <v>5</v>
      </c>
      <c r="F8" s="2">
        <f t="shared" si="0"/>
        <v>10</v>
      </c>
      <c r="G8" s="2" t="str">
        <f t="shared" si="1"/>
        <v>Medium</v>
      </c>
      <c r="H8" s="2" t="s">
        <v>44</v>
      </c>
    </row>
    <row r="9" spans="1:8" x14ac:dyDescent="0.25">
      <c r="A9" s="2" t="s">
        <v>14</v>
      </c>
      <c r="B9" s="2" t="s">
        <v>24</v>
      </c>
      <c r="C9" s="2" t="s">
        <v>34</v>
      </c>
      <c r="D9" s="2">
        <v>1</v>
      </c>
      <c r="E9" s="2">
        <v>3</v>
      </c>
      <c r="F9" s="2">
        <f t="shared" si="0"/>
        <v>3</v>
      </c>
      <c r="G9" s="2" t="str">
        <f t="shared" si="1"/>
        <v>Low</v>
      </c>
      <c r="H9" s="2" t="s">
        <v>45</v>
      </c>
    </row>
    <row r="10" spans="1:8" x14ac:dyDescent="0.25">
      <c r="A10" s="2" t="s">
        <v>15</v>
      </c>
      <c r="B10" s="2" t="s">
        <v>23</v>
      </c>
      <c r="C10" s="2" t="s">
        <v>35</v>
      </c>
      <c r="D10" s="2">
        <v>3</v>
      </c>
      <c r="E10" s="2">
        <v>3</v>
      </c>
      <c r="F10" s="2">
        <f t="shared" si="0"/>
        <v>9</v>
      </c>
      <c r="G10" s="2" t="str">
        <f t="shared" si="1"/>
        <v>Medium</v>
      </c>
      <c r="H10" s="2" t="s">
        <v>46</v>
      </c>
    </row>
    <row r="11" spans="1:8" x14ac:dyDescent="0.25">
      <c r="A11" s="2" t="s">
        <v>16</v>
      </c>
      <c r="B11" s="2" t="s">
        <v>22</v>
      </c>
      <c r="C11" s="2" t="s">
        <v>36</v>
      </c>
      <c r="D11" s="2">
        <v>2</v>
      </c>
      <c r="E11" s="2">
        <v>3</v>
      </c>
      <c r="F11" s="2">
        <f t="shared" si="0"/>
        <v>6</v>
      </c>
      <c r="G11" s="2" t="str">
        <f t="shared" si="1"/>
        <v>Low</v>
      </c>
      <c r="H11" s="2" t="s">
        <v>47</v>
      </c>
    </row>
    <row r="14" spans="1:8" x14ac:dyDescent="0.25">
      <c r="A14" s="1" t="s">
        <v>48</v>
      </c>
    </row>
    <row r="15" spans="1:8" x14ac:dyDescent="0.25">
      <c r="A15" t="s">
        <v>49</v>
      </c>
    </row>
    <row r="16" spans="1:8" x14ac:dyDescent="0.25">
      <c r="A16" t="s">
        <v>50</v>
      </c>
    </row>
    <row r="17" spans="1:1" x14ac:dyDescent="0.25">
      <c r="A17" t="s">
        <v>51</v>
      </c>
    </row>
  </sheetData>
  <phoneticPr fontId="2" type="noConversion"/>
  <conditionalFormatting sqref="F2:F11">
    <cfRule type="cellIs" dxfId="13" priority="5" operator="lessThan">
      <formula>8</formula>
    </cfRule>
    <cfRule type="cellIs" dxfId="12" priority="6" operator="lessThan">
      <formula>15</formula>
    </cfRule>
    <cfRule type="cellIs" dxfId="11" priority="7" operator="lessThan">
      <formula>20</formula>
    </cfRule>
    <cfRule type="cellIs" dxfId="10" priority="8" operator="equal">
      <formula>20</formula>
    </cfRule>
  </conditionalFormatting>
  <conditionalFormatting sqref="G2:G11">
    <cfRule type="containsText" dxfId="4" priority="4" operator="containsText" text="Critical">
      <formula>NOT(ISERROR(SEARCH("Critical",G2)))</formula>
    </cfRule>
    <cfRule type="containsText" dxfId="5" priority="3" operator="containsText" text="high">
      <formula>NOT(ISERROR(SEARCH("high",G2)))</formula>
    </cfRule>
    <cfRule type="containsText" dxfId="6" priority="2" operator="containsText" text="medium">
      <formula>NOT(ISERROR(SEARCH("medium",G2)))</formula>
    </cfRule>
    <cfRule type="containsText" dxfId="3" priority="1" operator="containsText" text="low">
      <formula>NOT(ISERROR(SEARCH("low",G2)))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Nguyen</dc:creator>
  <cp:lastModifiedBy>Seo Nguyen</cp:lastModifiedBy>
  <dcterms:created xsi:type="dcterms:W3CDTF">2026-04-12T17:04:30Z</dcterms:created>
  <dcterms:modified xsi:type="dcterms:W3CDTF">2026-04-12T18:29:28Z</dcterms:modified>
</cp:coreProperties>
</file>